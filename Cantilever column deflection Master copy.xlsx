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30" windowWidth="9480" windowHeight="5820"/>
  </bookViews>
  <sheets>
    <sheet name="Deflection formula" sheetId="1" r:id="rId1"/>
    <sheet name="FEM column deflection rate" sheetId="2" r:id="rId2"/>
    <sheet name="MoI" sheetId="3" r:id="rId3"/>
  </sheets>
  <calcPr calcId="125725"/>
</workbook>
</file>

<file path=xl/calcChain.xml><?xml version="1.0" encoding="utf-8"?>
<calcChain xmlns="http://schemas.openxmlformats.org/spreadsheetml/2006/main">
  <c r="A31" i="1"/>
  <c r="A29"/>
  <c r="A28"/>
  <c r="D12"/>
  <c r="E12"/>
  <c r="B12" s="1"/>
  <c r="G31"/>
  <c r="H31"/>
  <c r="G25"/>
  <c r="H25"/>
  <c r="G29"/>
  <c r="H29"/>
  <c r="G21"/>
  <c r="H21"/>
  <c r="B23"/>
  <c r="B10" l="1"/>
  <c r="B24" l="1"/>
  <c r="E16" i="2" l="1"/>
  <c r="A16" s="1"/>
  <c r="E15"/>
  <c r="G15" s="1"/>
  <c r="E14"/>
  <c r="G14" s="1"/>
  <c r="G13"/>
  <c r="E13"/>
  <c r="D13"/>
  <c r="A13" s="1"/>
  <c r="D12"/>
  <c r="G12" s="1"/>
  <c r="D11"/>
  <c r="A11" s="1"/>
  <c r="D10"/>
  <c r="G10" s="1"/>
  <c r="D9"/>
  <c r="G9" s="1"/>
  <c r="D8"/>
  <c r="G8" s="1"/>
  <c r="D7"/>
  <c r="C7"/>
  <c r="A7" s="1"/>
  <c r="C6"/>
  <c r="A6" s="1"/>
  <c r="C5"/>
  <c r="G5" s="1"/>
  <c r="C4"/>
  <c r="C3"/>
  <c r="A3" s="1"/>
  <c r="A12" l="1"/>
  <c r="G4"/>
  <c r="A4"/>
  <c r="A8"/>
  <c r="A10"/>
  <c r="A5"/>
  <c r="A14"/>
  <c r="G6"/>
  <c r="G7"/>
  <c r="A9"/>
  <c r="G11"/>
  <c r="G16"/>
  <c r="G3"/>
  <c r="A15"/>
  <c r="B14" i="1"/>
  <c r="B21" s="1"/>
  <c r="F21" l="1"/>
  <c r="E21"/>
  <c r="C21"/>
  <c r="D21"/>
  <c r="B29"/>
  <c r="E29" l="1"/>
  <c r="C29"/>
  <c r="D29"/>
  <c r="F29"/>
  <c r="I29"/>
  <c r="I21"/>
  <c r="B22"/>
  <c r="D25" s="1"/>
  <c r="B30"/>
  <c r="B31" s="1"/>
  <c r="C25" l="1"/>
  <c r="F31"/>
  <c r="E31"/>
  <c r="C36"/>
  <c r="B25"/>
  <c r="F25"/>
  <c r="C31"/>
  <c r="D31"/>
  <c r="E25"/>
  <c r="F36"/>
  <c r="E36"/>
  <c r="D36"/>
  <c r="B36"/>
  <c r="B37"/>
  <c r="I36" l="1"/>
  <c r="I25"/>
  <c r="B26" s="1"/>
  <c r="I31"/>
  <c r="B32" s="1"/>
  <c r="B38" l="1"/>
  <c r="D37" s="1"/>
  <c r="H39" s="1"/>
  <c r="D39" l="1"/>
  <c r="G39" s="1"/>
</calcChain>
</file>

<file path=xl/sharedStrings.xml><?xml version="1.0" encoding="utf-8"?>
<sst xmlns="http://schemas.openxmlformats.org/spreadsheetml/2006/main" count="133" uniqueCount="113">
  <si>
    <t xml:space="preserve">Moment (pt): </t>
  </si>
  <si>
    <t>Deflection (pt) :</t>
  </si>
  <si>
    <t xml:space="preserve">Deflection (sum): </t>
  </si>
  <si>
    <t>E =</t>
  </si>
  <si>
    <t>m</t>
  </si>
  <si>
    <t>Total</t>
  </si>
  <si>
    <t xml:space="preserve">Qty of arm = </t>
  </si>
  <si>
    <t xml:space="preserve">Arm = </t>
  </si>
  <si>
    <t>Fi (kN/m)</t>
  </si>
  <si>
    <t>Mi (kNm)</t>
  </si>
  <si>
    <t>Unit</t>
  </si>
  <si>
    <t>kg</t>
  </si>
  <si>
    <t xml:space="preserve">F = </t>
  </si>
  <si>
    <t>=</t>
  </si>
  <si>
    <t xml:space="preserve">F (total) = </t>
  </si>
  <si>
    <t xml:space="preserve">F (arm) = </t>
  </si>
  <si>
    <t>Reverse calculation using Deflection Rate to derive Loading (kg) per Arm</t>
  </si>
  <si>
    <t>FEM @6m (top arm) max H/118</t>
  </si>
  <si>
    <t>Base B</t>
  </si>
  <si>
    <t>L1</t>
  </si>
  <si>
    <t>L2</t>
  </si>
  <si>
    <t>L3</t>
  </si>
  <si>
    <t>L4</t>
  </si>
  <si>
    <t>F4</t>
  </si>
  <si>
    <t>F3</t>
  </si>
  <si>
    <t>F2</t>
  </si>
  <si>
    <t>F1</t>
  </si>
  <si>
    <t>M1</t>
  </si>
  <si>
    <t>M4</t>
  </si>
  <si>
    <t>M3</t>
  </si>
  <si>
    <t>M2</t>
  </si>
  <si>
    <t>H1</t>
  </si>
  <si>
    <t>H3</t>
  </si>
  <si>
    <t>Checksum</t>
  </si>
  <si>
    <t>FEM 10.9.02 Section 9.8</t>
  </si>
  <si>
    <t>立柱mm (Floor to Top Arm)</t>
  </si>
  <si>
    <t>Up to 6m</t>
    <phoneticPr fontId="1" type="noConversion"/>
  </si>
  <si>
    <t>Between 
6 and 12m</t>
    <phoneticPr fontId="1" type="noConversion"/>
  </si>
  <si>
    <t>Over 12m</t>
    <phoneticPr fontId="1" type="noConversion"/>
  </si>
  <si>
    <t>挠度</t>
    <phoneticPr fontId="1" type="noConversion"/>
  </si>
  <si>
    <t xml:space="preserve">L / </t>
    <phoneticPr fontId="1" type="noConversion"/>
  </si>
  <si>
    <t>FEM 10.9.02 Column (floor to top arm) deflection rate</t>
  </si>
  <si>
    <t>FEM 10.9.02 Section 11.2.3</t>
  </si>
  <si>
    <t xml:space="preserve">Arm Loading = </t>
  </si>
  <si>
    <t xml:space="preserve">  H4</t>
  </si>
  <si>
    <t xml:space="preserve">      H2</t>
  </si>
  <si>
    <r>
      <t xml:space="preserve"> 2.05·10</t>
    </r>
    <r>
      <rPr>
        <vertAlign val="superscript"/>
        <sz val="11"/>
        <rFont val="Arial"/>
        <family val="2"/>
      </rPr>
      <t>8</t>
    </r>
    <r>
      <rPr>
        <sz val="11"/>
        <rFont val="Arial"/>
        <family val="2"/>
      </rPr>
      <t xml:space="preserve"> kN/m</t>
    </r>
    <r>
      <rPr>
        <vertAlign val="superscript"/>
        <sz val="11"/>
        <rFont val="Arial"/>
        <family val="2"/>
      </rPr>
      <t>2</t>
    </r>
  </si>
  <si>
    <t>arm-qty * Htop * 4 * E * Ix * 1000</t>
  </si>
  <si>
    <t>Height</t>
  </si>
  <si>
    <t>Column</t>
  </si>
  <si>
    <t>FEM挠度:立柱高度为地面致最顶层悬臂</t>
  </si>
  <si>
    <r>
      <t xml:space="preserve">Arm </t>
    </r>
    <r>
      <rPr>
        <b/>
        <sz val="11"/>
        <color rgb="FFFF0000"/>
        <rFont val="Arial"/>
        <family val="2"/>
      </rPr>
      <t>Li</t>
    </r>
    <r>
      <rPr>
        <sz val="11"/>
        <rFont val="Arial"/>
        <family val="2"/>
      </rPr>
      <t xml:space="preserve"> = </t>
    </r>
  </si>
  <si>
    <r>
      <t xml:space="preserve">Base </t>
    </r>
    <r>
      <rPr>
        <b/>
        <sz val="11"/>
        <color rgb="FFFF0000"/>
        <rFont val="Arial"/>
        <family val="2"/>
      </rPr>
      <t>B</t>
    </r>
    <r>
      <rPr>
        <sz val="11"/>
        <rFont val="Arial"/>
        <family val="2"/>
      </rPr>
      <t xml:space="preserve"> = </t>
    </r>
  </si>
  <si>
    <r>
      <rPr>
        <b/>
        <sz val="11"/>
        <color rgb="FFFF0000"/>
        <rFont val="Arial"/>
        <family val="2"/>
      </rPr>
      <t>E</t>
    </r>
    <r>
      <rPr>
        <sz val="11"/>
        <rFont val="Arial"/>
        <family val="2"/>
      </rPr>
      <t xml:space="preserve"> =</t>
    </r>
  </si>
  <si>
    <r>
      <rPr>
        <sz val="11"/>
        <rFont val="Arial"/>
        <family val="2"/>
      </rPr>
      <t xml:space="preserve">UDL on arm </t>
    </r>
    <r>
      <rPr>
        <b/>
        <sz val="11"/>
        <color rgb="FFFF0000"/>
        <rFont val="Arial"/>
        <family val="2"/>
      </rPr>
      <t>Fi</t>
    </r>
    <r>
      <rPr>
        <sz val="11"/>
        <rFont val="Arial"/>
        <family val="2"/>
      </rPr>
      <t xml:space="preserve"> kN/m = </t>
    </r>
  </si>
  <si>
    <t>输入蓝色数据</t>
  </si>
  <si>
    <t>底座高度</t>
  </si>
  <si>
    <t>臂长</t>
  </si>
  <si>
    <t>悬臂承载</t>
  </si>
  <si>
    <t>立柱总高度</t>
  </si>
  <si>
    <t>arms</t>
  </si>
  <si>
    <t>悬臂数量（不含地面层）</t>
  </si>
  <si>
    <r>
      <t>m</t>
    </r>
    <r>
      <rPr>
        <vertAlign val="superscript"/>
        <sz val="11"/>
        <rFont val="Arial"/>
        <family val="2"/>
      </rPr>
      <t>4</t>
    </r>
  </si>
  <si>
    <r>
      <t>kN/m</t>
    </r>
    <r>
      <rPr>
        <vertAlign val="superscript"/>
        <sz val="11"/>
        <rFont val="Arial"/>
        <family val="2"/>
      </rPr>
      <t>2</t>
    </r>
  </si>
  <si>
    <t>Arm Load kN =</t>
  </si>
  <si>
    <t xml:space="preserve">Hi-B*(2Htop-Hi-B) = </t>
  </si>
  <si>
    <t xml:space="preserve">F(total) / arm-qty = </t>
  </si>
  <si>
    <r>
      <t xml:space="preserve">Arm height (from flr) </t>
    </r>
    <r>
      <rPr>
        <b/>
        <sz val="11"/>
        <color rgb="FFFF0000"/>
        <rFont val="Arial"/>
        <family val="2"/>
      </rPr>
      <t>Hi</t>
    </r>
    <r>
      <rPr>
        <sz val="11"/>
        <rFont val="Arial"/>
        <family val="2"/>
      </rPr>
      <t xml:space="preserve"> m =</t>
    </r>
  </si>
  <si>
    <r>
      <t xml:space="preserve">Top arm (from flr) </t>
    </r>
    <r>
      <rPr>
        <b/>
        <sz val="11"/>
        <color rgb="FFFF0000"/>
        <rFont val="Arial"/>
        <family val="2"/>
      </rPr>
      <t xml:space="preserve">Htop </t>
    </r>
    <r>
      <rPr>
        <sz val="11"/>
        <rFont val="Arial"/>
        <family val="2"/>
      </rPr>
      <t>m =</t>
    </r>
  </si>
  <si>
    <t>(4E x MoI)</t>
  </si>
  <si>
    <t xml:space="preserve">(Fi x Li^2) </t>
  </si>
  <si>
    <t>x(Hi-B) x (2Htop-Hi-B)</t>
  </si>
  <si>
    <t>9.80665*DR*Li*[(H1-B)*(2Htop-H1-B) + (Hi-B)*(2Htop-Hi-B)]</t>
  </si>
  <si>
    <t>kN = 9.80665 x kg/1000</t>
  </si>
  <si>
    <t>Deflection m =</t>
  </si>
  <si>
    <t>FEM takes column deflection at top arm</t>
  </si>
  <si>
    <t>悬臂立柱挠度计算（以地面致最高层悬臂为基准）</t>
  </si>
  <si>
    <t>规格</t>
  </si>
  <si>
    <t>MOI</t>
  </si>
  <si>
    <t>Ix</t>
  </si>
  <si>
    <t>C200*60*2.0t</t>
  </si>
  <si>
    <t>C200*60*2.5t</t>
  </si>
  <si>
    <t>C200*60*3.0t</t>
  </si>
  <si>
    <t>C215*90*2.5t</t>
  </si>
  <si>
    <t>C215*90*3.0t</t>
  </si>
  <si>
    <t>C300*90*3.0t</t>
  </si>
  <si>
    <t>C300*90*3.5t</t>
  </si>
  <si>
    <t>C300*90*4.0t</t>
  </si>
  <si>
    <t>C350*90*3.0t</t>
  </si>
  <si>
    <t>C350*90*3.5t</t>
  </si>
  <si>
    <t>C350*90*4.0t</t>
  </si>
  <si>
    <t>HN198x99</t>
  </si>
  <si>
    <t>HN200x100</t>
  </si>
  <si>
    <t>HN248x124</t>
  </si>
  <si>
    <t>HN250x125</t>
  </si>
  <si>
    <t>HN298x149</t>
  </si>
  <si>
    <t>HN300x150</t>
  </si>
  <si>
    <t>HN346x174</t>
  </si>
  <si>
    <t>HN350x175</t>
  </si>
  <si>
    <t>悬臂分布均匀</t>
  </si>
  <si>
    <t>最高悬臂在立柱顶部</t>
  </si>
  <si>
    <r>
      <t xml:space="preserve">Top arm (from flr) </t>
    </r>
    <r>
      <rPr>
        <b/>
        <sz val="11"/>
        <color rgb="FFFF0000"/>
        <rFont val="Arial"/>
        <family val="2"/>
      </rPr>
      <t xml:space="preserve">H-column </t>
    </r>
    <r>
      <rPr>
        <sz val="11"/>
        <rFont val="Arial"/>
        <family val="2"/>
      </rPr>
      <t>m =</t>
    </r>
  </si>
  <si>
    <t>x(Hi-B) x (2Hcolumn-Hi-B)</t>
  </si>
  <si>
    <t>计算B：最顶端悬臂在立柱最高处；立柱挠度按立柱高度计算(H-column)</t>
  </si>
  <si>
    <t>计算A：悬臂按立柱长度平均分布；立柱挠度按FEM标准按最高悬臂高度计算(Htop)；</t>
  </si>
  <si>
    <t>悬臂高度 = 立柱长度</t>
  </si>
  <si>
    <t>Htop = 顶端悬臂高度</t>
  </si>
  <si>
    <t>惯性矩从MoI表格链接过来</t>
  </si>
  <si>
    <r>
      <t>Column</t>
    </r>
    <r>
      <rPr>
        <b/>
        <sz val="11"/>
        <color rgb="FFFF0000"/>
        <rFont val="Arial"/>
        <family val="2"/>
      </rPr>
      <t xml:space="preserve"> MOI</t>
    </r>
    <r>
      <rPr>
        <sz val="11"/>
        <rFont val="Arial"/>
        <family val="2"/>
      </rPr>
      <t xml:space="preserve"> Ix = </t>
    </r>
  </si>
  <si>
    <r>
      <t xml:space="preserve">Column Height </t>
    </r>
    <r>
      <rPr>
        <b/>
        <sz val="11"/>
        <color rgb="FFFF0000"/>
        <rFont val="Arial"/>
        <family val="2"/>
      </rPr>
      <t>H</t>
    </r>
    <r>
      <rPr>
        <sz val="11"/>
        <rFont val="Arial"/>
        <family val="2"/>
      </rPr>
      <t xml:space="preserve"> = </t>
    </r>
  </si>
  <si>
    <t>Arm #</t>
  </si>
  <si>
    <r>
      <t>Deflection Rate (DR)</t>
    </r>
    <r>
      <rPr>
        <b/>
        <sz val="10"/>
        <color rgb="FFFF0000"/>
        <rFont val="Arial"/>
        <family val="2"/>
      </rPr>
      <t>@Htop</t>
    </r>
    <r>
      <rPr>
        <b/>
        <sz val="10"/>
        <rFont val="Arial"/>
        <family val="2"/>
      </rPr>
      <t xml:space="preserve"> =</t>
    </r>
  </si>
  <si>
    <r>
      <t>Deflection Rate (DR)</t>
    </r>
    <r>
      <rPr>
        <b/>
        <sz val="10"/>
        <color rgb="FFFF0000"/>
        <rFont val="Arial"/>
        <family val="2"/>
      </rPr>
      <t>@H</t>
    </r>
    <r>
      <rPr>
        <b/>
        <sz val="10"/>
        <rFont val="Arial"/>
        <family val="2"/>
      </rPr>
      <t xml:space="preserve"> =</t>
    </r>
  </si>
</sst>
</file>

<file path=xl/styles.xml><?xml version="1.0" encoding="utf-8"?>
<styleSheet xmlns="http://schemas.openxmlformats.org/spreadsheetml/2006/main">
  <numFmts count="8">
    <numFmt numFmtId="165" formatCode="0.000"/>
    <numFmt numFmtId="167" formatCode="0.0_);[Red]\(0.0\)"/>
    <numFmt numFmtId="168" formatCode="0_);[Red]\(0\)"/>
    <numFmt numFmtId="170" formatCode="0.00000"/>
    <numFmt numFmtId="171" formatCode="0;_퐀"/>
    <numFmt numFmtId="175" formatCode="&quot;H-top_arm / &quot;0.00"/>
    <numFmt numFmtId="176" formatCode="&quot;H-column / &quot;0.00"/>
    <numFmt numFmtId="177" formatCode="\ \ \ \ \ \ 0.000"/>
  </numFmts>
  <fonts count="18">
    <font>
      <sz val="12"/>
      <name val="宋体"/>
      <charset val="134"/>
    </font>
    <font>
      <sz val="11"/>
      <name val="Arial"/>
      <family val="2"/>
    </font>
    <font>
      <vertAlign val="superscript"/>
      <sz val="1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2"/>
      <color theme="8" tint="-0.249977111117893"/>
      <name val="Arial"/>
      <family val="2"/>
    </font>
    <font>
      <b/>
      <sz val="11"/>
      <color theme="8" tint="-0.249977111117893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8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 applyFill="1">
      <alignment vertical="center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7" fontId="7" fillId="0" borderId="0" xfId="0" applyNumberFormat="1" applyFont="1">
      <alignment vertical="center"/>
    </xf>
    <xf numFmtId="167" fontId="7" fillId="0" borderId="1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right" vertical="center"/>
    </xf>
    <xf numFmtId="168" fontId="9" fillId="0" borderId="4" xfId="0" applyNumberFormat="1" applyFont="1" applyBorder="1" applyAlignment="1">
      <alignment horizontal="left" vertical="center"/>
    </xf>
    <xf numFmtId="168" fontId="5" fillId="0" borderId="4" xfId="0" applyNumberFormat="1" applyFont="1" applyBorder="1" applyAlignment="1">
      <alignment horizontal="left" vertical="center"/>
    </xf>
    <xf numFmtId="0" fontId="10" fillId="0" borderId="0" xfId="0" applyFont="1">
      <alignment vertical="center"/>
    </xf>
    <xf numFmtId="165" fontId="6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170" fontId="6" fillId="0" borderId="1" xfId="0" applyNumberFormat="1" applyFont="1" applyBorder="1" applyAlignment="1">
      <alignment horizontal="center" vertical="center"/>
    </xf>
    <xf numFmtId="165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5" fillId="0" borderId="0" xfId="0" applyFont="1">
      <alignment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0" xfId="0" applyFont="1" applyFill="1">
      <alignment vertical="center"/>
    </xf>
    <xf numFmtId="0" fontId="15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17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5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65" fontId="1" fillId="0" borderId="0" xfId="0" applyNumberFormat="1" applyFont="1">
      <alignment vertical="center"/>
    </xf>
    <xf numFmtId="177" fontId="6" fillId="0" borderId="3" xfId="0" applyNumberFormat="1" applyFont="1" applyFill="1" applyBorder="1" applyAlignment="1">
      <alignment horizontal="center" vertical="center"/>
    </xf>
    <xf numFmtId="177" fontId="6" fillId="0" borderId="9" xfId="0" applyNumberFormat="1" applyFont="1" applyFill="1" applyBorder="1" applyAlignment="1">
      <alignment horizontal="center" vertical="center"/>
    </xf>
    <xf numFmtId="177" fontId="6" fillId="0" borderId="4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6" fillId="0" borderId="1" xfId="0" applyFont="1" applyBorder="1" applyAlignment="1">
      <alignment horizontal="right" vertical="center"/>
    </xf>
    <xf numFmtId="0" fontId="17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34221</xdr:colOff>
      <xdr:row>5</xdr:row>
      <xdr:rowOff>70556</xdr:rowOff>
    </xdr:from>
    <xdr:to>
      <xdr:col>4</xdr:col>
      <xdr:colOff>57150</xdr:colOff>
      <xdr:row>7</xdr:row>
      <xdr:rowOff>168862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96888" y="966612"/>
          <a:ext cx="2294818" cy="451083"/>
        </a:xfrm>
        <a:prstGeom prst="rect">
          <a:avLst/>
        </a:prstGeom>
        <a:noFill/>
      </xdr:spPr>
    </xdr:pic>
    <xdr:clientData/>
  </xdr:twoCellAnchor>
  <xdr:twoCellAnchor>
    <xdr:from>
      <xdr:col>1</xdr:col>
      <xdr:colOff>34572</xdr:colOff>
      <xdr:row>3</xdr:row>
      <xdr:rowOff>127000</xdr:rowOff>
    </xdr:from>
    <xdr:to>
      <xdr:col>3</xdr:col>
      <xdr:colOff>167922</xdr:colOff>
      <xdr:row>5</xdr:row>
      <xdr:rowOff>103011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97239" y="670278"/>
          <a:ext cx="1692627" cy="328789"/>
        </a:xfrm>
        <a:prstGeom prst="rect">
          <a:avLst/>
        </a:prstGeom>
        <a:noFill/>
      </xdr:spPr>
    </xdr:pic>
    <xdr:clientData/>
  </xdr:twoCellAnchor>
  <xdr:twoCellAnchor>
    <xdr:from>
      <xdr:col>1</xdr:col>
      <xdr:colOff>50802</xdr:colOff>
      <xdr:row>1</xdr:row>
      <xdr:rowOff>91722</xdr:rowOff>
    </xdr:from>
    <xdr:to>
      <xdr:col>1</xdr:col>
      <xdr:colOff>784226</xdr:colOff>
      <xdr:row>3</xdr:row>
      <xdr:rowOff>90311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13469" y="268111"/>
          <a:ext cx="733424" cy="365478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10583</xdr:colOff>
      <xdr:row>1</xdr:row>
      <xdr:rowOff>25400</xdr:rowOff>
    </xdr:from>
    <xdr:to>
      <xdr:col>9</xdr:col>
      <xdr:colOff>3528</xdr:colOff>
      <xdr:row>16</xdr:row>
      <xdr:rowOff>167923</xdr:rowOff>
    </xdr:to>
    <xdr:sp macro="" textlink="">
      <xdr:nvSpPr>
        <xdr:cNvPr id="5" name="L-Shape 4"/>
        <xdr:cNvSpPr/>
      </xdr:nvSpPr>
      <xdr:spPr>
        <a:xfrm>
          <a:off x="6709833" y="203200"/>
          <a:ext cx="1364545" cy="2866673"/>
        </a:xfrm>
        <a:prstGeom prst="corner">
          <a:avLst>
            <a:gd name="adj1" fmla="val 11111"/>
            <a:gd name="adj2" fmla="val 115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SG" sz="1100"/>
        </a:p>
      </xdr:txBody>
    </xdr:sp>
    <xdr:clientData/>
  </xdr:twoCellAnchor>
  <xdr:twoCellAnchor>
    <xdr:from>
      <xdr:col>7</xdr:col>
      <xdr:colOff>195437</xdr:colOff>
      <xdr:row>13</xdr:row>
      <xdr:rowOff>26811</xdr:rowOff>
    </xdr:from>
    <xdr:to>
      <xdr:col>8</xdr:col>
      <xdr:colOff>710494</xdr:colOff>
      <xdr:row>13</xdr:row>
      <xdr:rowOff>111477</xdr:rowOff>
    </xdr:to>
    <xdr:sp macro="" textlink="">
      <xdr:nvSpPr>
        <xdr:cNvPr id="6" name="Rectangle 5"/>
        <xdr:cNvSpPr/>
      </xdr:nvSpPr>
      <xdr:spPr>
        <a:xfrm>
          <a:off x="6467826" y="2559755"/>
          <a:ext cx="1227668" cy="8466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SG" sz="1100"/>
        </a:p>
      </xdr:txBody>
    </xdr:sp>
    <xdr:clientData/>
  </xdr:twoCellAnchor>
  <xdr:twoCellAnchor>
    <xdr:from>
      <xdr:col>7</xdr:col>
      <xdr:colOff>185560</xdr:colOff>
      <xdr:row>10</xdr:row>
      <xdr:rowOff>32457</xdr:rowOff>
    </xdr:from>
    <xdr:to>
      <xdr:col>8</xdr:col>
      <xdr:colOff>700617</xdr:colOff>
      <xdr:row>10</xdr:row>
      <xdr:rowOff>119240</xdr:rowOff>
    </xdr:to>
    <xdr:sp macro="" textlink="">
      <xdr:nvSpPr>
        <xdr:cNvPr id="7" name="Rectangle 6"/>
        <xdr:cNvSpPr/>
      </xdr:nvSpPr>
      <xdr:spPr>
        <a:xfrm>
          <a:off x="6457949" y="1958624"/>
          <a:ext cx="1227668" cy="8678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SG" sz="1100"/>
        </a:p>
      </xdr:txBody>
    </xdr:sp>
    <xdr:clientData/>
  </xdr:twoCellAnchor>
  <xdr:twoCellAnchor>
    <xdr:from>
      <xdr:col>7</xdr:col>
      <xdr:colOff>196849</xdr:colOff>
      <xdr:row>4</xdr:row>
      <xdr:rowOff>21168</xdr:rowOff>
    </xdr:from>
    <xdr:to>
      <xdr:col>8</xdr:col>
      <xdr:colOff>711906</xdr:colOff>
      <xdr:row>4</xdr:row>
      <xdr:rowOff>105834</xdr:rowOff>
    </xdr:to>
    <xdr:sp macro="" textlink="">
      <xdr:nvSpPr>
        <xdr:cNvPr id="8" name="Rectangle 7"/>
        <xdr:cNvSpPr/>
      </xdr:nvSpPr>
      <xdr:spPr>
        <a:xfrm>
          <a:off x="6469238" y="818446"/>
          <a:ext cx="1227668" cy="8466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SG" sz="1100"/>
        </a:p>
      </xdr:txBody>
    </xdr:sp>
    <xdr:clientData/>
  </xdr:twoCellAnchor>
  <xdr:twoCellAnchor>
    <xdr:from>
      <xdr:col>7</xdr:col>
      <xdr:colOff>194027</xdr:colOff>
      <xdr:row>7</xdr:row>
      <xdr:rowOff>25402</xdr:rowOff>
    </xdr:from>
    <xdr:to>
      <xdr:col>8</xdr:col>
      <xdr:colOff>709084</xdr:colOff>
      <xdr:row>7</xdr:row>
      <xdr:rowOff>110068</xdr:rowOff>
    </xdr:to>
    <xdr:sp macro="" textlink="">
      <xdr:nvSpPr>
        <xdr:cNvPr id="9" name="Rectangle 8"/>
        <xdr:cNvSpPr/>
      </xdr:nvSpPr>
      <xdr:spPr>
        <a:xfrm>
          <a:off x="6466416" y="1351846"/>
          <a:ext cx="1227668" cy="8466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SG" sz="1100"/>
        </a:p>
      </xdr:txBody>
    </xdr:sp>
    <xdr:clientData/>
  </xdr:twoCellAnchor>
  <xdr:twoCellAnchor>
    <xdr:from>
      <xdr:col>8</xdr:col>
      <xdr:colOff>217311</xdr:colOff>
      <xdr:row>11</xdr:row>
      <xdr:rowOff>47272</xdr:rowOff>
    </xdr:from>
    <xdr:to>
      <xdr:col>8</xdr:col>
      <xdr:colOff>269523</xdr:colOff>
      <xdr:row>12</xdr:row>
      <xdr:rowOff>172860</xdr:rowOff>
    </xdr:to>
    <xdr:sp macro="" textlink="">
      <xdr:nvSpPr>
        <xdr:cNvPr id="13" name="Down Arrow 12"/>
        <xdr:cNvSpPr/>
      </xdr:nvSpPr>
      <xdr:spPr>
        <a:xfrm>
          <a:off x="7602361" y="2060222"/>
          <a:ext cx="52212" cy="303388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SG" sz="1100"/>
        </a:p>
      </xdr:txBody>
    </xdr:sp>
    <xdr:clientData/>
  </xdr:twoCellAnchor>
  <xdr:twoCellAnchor>
    <xdr:from>
      <xdr:col>8</xdr:col>
      <xdr:colOff>214489</xdr:colOff>
      <xdr:row>5</xdr:row>
      <xdr:rowOff>65617</xdr:rowOff>
    </xdr:from>
    <xdr:to>
      <xdr:col>8</xdr:col>
      <xdr:colOff>266701</xdr:colOff>
      <xdr:row>7</xdr:row>
      <xdr:rowOff>13405</xdr:rowOff>
    </xdr:to>
    <xdr:sp macro="" textlink="">
      <xdr:nvSpPr>
        <xdr:cNvPr id="14" name="Down Arrow 13"/>
        <xdr:cNvSpPr/>
      </xdr:nvSpPr>
      <xdr:spPr>
        <a:xfrm>
          <a:off x="7599539" y="980017"/>
          <a:ext cx="52212" cy="303388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SG" sz="1100"/>
        </a:p>
      </xdr:txBody>
    </xdr:sp>
    <xdr:clientData/>
  </xdr:twoCellAnchor>
  <xdr:twoCellAnchor>
    <xdr:from>
      <xdr:col>8</xdr:col>
      <xdr:colOff>211667</xdr:colOff>
      <xdr:row>8</xdr:row>
      <xdr:rowOff>91018</xdr:rowOff>
    </xdr:from>
    <xdr:to>
      <xdr:col>8</xdr:col>
      <xdr:colOff>263879</xdr:colOff>
      <xdr:row>10</xdr:row>
      <xdr:rowOff>4939</xdr:rowOff>
    </xdr:to>
    <xdr:sp macro="" textlink="">
      <xdr:nvSpPr>
        <xdr:cNvPr id="15" name="Down Arrow 14"/>
        <xdr:cNvSpPr/>
      </xdr:nvSpPr>
      <xdr:spPr>
        <a:xfrm>
          <a:off x="7196667" y="1593851"/>
          <a:ext cx="52212" cy="337255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SG" sz="1100"/>
        </a:p>
      </xdr:txBody>
    </xdr:sp>
    <xdr:clientData/>
  </xdr:twoCellAnchor>
  <xdr:twoCellAnchor>
    <xdr:from>
      <xdr:col>8</xdr:col>
      <xdr:colOff>208844</xdr:colOff>
      <xdr:row>2</xdr:row>
      <xdr:rowOff>61383</xdr:rowOff>
    </xdr:from>
    <xdr:to>
      <xdr:col>8</xdr:col>
      <xdr:colOff>261056</xdr:colOff>
      <xdr:row>3</xdr:row>
      <xdr:rowOff>172860</xdr:rowOff>
    </xdr:to>
    <xdr:sp macro="" textlink="">
      <xdr:nvSpPr>
        <xdr:cNvPr id="16" name="Down Arrow 15"/>
        <xdr:cNvSpPr/>
      </xdr:nvSpPr>
      <xdr:spPr>
        <a:xfrm>
          <a:off x="7593894" y="429683"/>
          <a:ext cx="52212" cy="301977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SG" sz="1100"/>
        </a:p>
      </xdr:txBody>
    </xdr:sp>
    <xdr:clientData/>
  </xdr:twoCellAnchor>
  <xdr:twoCellAnchor>
    <xdr:from>
      <xdr:col>9</xdr:col>
      <xdr:colOff>239889</xdr:colOff>
      <xdr:row>4</xdr:row>
      <xdr:rowOff>3528</xdr:rowOff>
    </xdr:from>
    <xdr:to>
      <xdr:col>9</xdr:col>
      <xdr:colOff>670278</xdr:colOff>
      <xdr:row>4</xdr:row>
      <xdr:rowOff>144640</xdr:rowOff>
    </xdr:to>
    <xdr:sp macro="" textlink="">
      <xdr:nvSpPr>
        <xdr:cNvPr id="23" name="Right Arrow 22"/>
        <xdr:cNvSpPr/>
      </xdr:nvSpPr>
      <xdr:spPr>
        <a:xfrm>
          <a:off x="8310739" y="740128"/>
          <a:ext cx="430389" cy="141112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SG" sz="1100"/>
        </a:p>
      </xdr:txBody>
    </xdr:sp>
    <xdr:clientData/>
  </xdr:twoCellAnchor>
  <xdr:twoCellAnchor>
    <xdr:from>
      <xdr:col>5</xdr:col>
      <xdr:colOff>539750</xdr:colOff>
      <xdr:row>1</xdr:row>
      <xdr:rowOff>6350</xdr:rowOff>
    </xdr:from>
    <xdr:to>
      <xdr:col>5</xdr:col>
      <xdr:colOff>553510</xdr:colOff>
      <xdr:row>16</xdr:row>
      <xdr:rowOff>171450</xdr:rowOff>
    </xdr:to>
    <xdr:cxnSp macro="">
      <xdr:nvCxnSpPr>
        <xdr:cNvPr id="26" name="Straight Arrow Connector 25"/>
        <xdr:cNvCxnSpPr/>
      </xdr:nvCxnSpPr>
      <xdr:spPr>
        <a:xfrm flipH="1" flipV="1">
          <a:off x="5892800" y="184150"/>
          <a:ext cx="13760" cy="288925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431800</xdr:colOff>
      <xdr:row>13</xdr:row>
      <xdr:rowOff>0</xdr:rowOff>
    </xdr:from>
    <xdr:to>
      <xdr:col>6</xdr:col>
      <xdr:colOff>436034</xdr:colOff>
      <xdr:row>16</xdr:row>
      <xdr:rowOff>176428</xdr:rowOff>
    </xdr:to>
    <xdr:cxnSp macro="">
      <xdr:nvCxnSpPr>
        <xdr:cNvPr id="30" name="Straight Arrow Connector 29"/>
        <xdr:cNvCxnSpPr/>
      </xdr:nvCxnSpPr>
      <xdr:spPr>
        <a:xfrm flipH="1" flipV="1">
          <a:off x="6445250" y="2368550"/>
          <a:ext cx="4234" cy="709828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9</xdr:row>
      <xdr:rowOff>189441</xdr:rowOff>
    </xdr:from>
    <xdr:to>
      <xdr:col>6</xdr:col>
      <xdr:colOff>317500</xdr:colOff>
      <xdr:row>16</xdr:row>
      <xdr:rowOff>161444</xdr:rowOff>
    </xdr:to>
    <xdr:cxnSp macro="">
      <xdr:nvCxnSpPr>
        <xdr:cNvPr id="32" name="Straight Arrow Connector 31"/>
        <xdr:cNvCxnSpPr/>
      </xdr:nvCxnSpPr>
      <xdr:spPr>
        <a:xfrm flipH="1" flipV="1">
          <a:off x="6327775" y="1815041"/>
          <a:ext cx="3175" cy="1248353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174625</xdr:colOff>
      <xdr:row>7</xdr:row>
      <xdr:rowOff>4233</xdr:rowOff>
    </xdr:from>
    <xdr:to>
      <xdr:col>6</xdr:col>
      <xdr:colOff>177801</xdr:colOff>
      <xdr:row>16</xdr:row>
      <xdr:rowOff>165514</xdr:rowOff>
    </xdr:to>
    <xdr:cxnSp macro="">
      <xdr:nvCxnSpPr>
        <xdr:cNvPr id="34" name="Straight Arrow Connector 33"/>
        <xdr:cNvCxnSpPr/>
      </xdr:nvCxnSpPr>
      <xdr:spPr>
        <a:xfrm flipH="1" flipV="1">
          <a:off x="6188075" y="1274233"/>
          <a:ext cx="3176" cy="1793231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33215</xdr:colOff>
      <xdr:row>4</xdr:row>
      <xdr:rowOff>9525</xdr:rowOff>
    </xdr:from>
    <xdr:to>
      <xdr:col>6</xdr:col>
      <xdr:colOff>38100</xdr:colOff>
      <xdr:row>16</xdr:row>
      <xdr:rowOff>171940</xdr:rowOff>
    </xdr:to>
    <xdr:cxnSp macro="">
      <xdr:nvCxnSpPr>
        <xdr:cNvPr id="39" name="Straight Arrow Connector 38"/>
        <xdr:cNvCxnSpPr/>
      </xdr:nvCxnSpPr>
      <xdr:spPr>
        <a:xfrm flipV="1">
          <a:off x="6046665" y="746125"/>
          <a:ext cx="4885" cy="232776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18</xdr:row>
      <xdr:rowOff>6350</xdr:rowOff>
    </xdr:from>
    <xdr:to>
      <xdr:col>9</xdr:col>
      <xdr:colOff>565151</xdr:colOff>
      <xdr:row>18</xdr:row>
      <xdr:rowOff>168627</xdr:rowOff>
    </xdr:to>
    <xdr:pic>
      <xdr:nvPicPr>
        <xdr:cNvPr id="2" name="Picture 1" descr="FEM 10.2.09 Section 9.8 Column Deflection H=Floor to Top Arm abstract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407" t="11771" b="66570"/>
        <a:stretch>
          <a:fillRect/>
        </a:stretch>
      </xdr:blipFill>
      <xdr:spPr>
        <a:xfrm>
          <a:off x="1" y="3886200"/>
          <a:ext cx="6076950" cy="16227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</xdr:row>
      <xdr:rowOff>38100</xdr:rowOff>
    </xdr:from>
    <xdr:to>
      <xdr:col>9</xdr:col>
      <xdr:colOff>546101</xdr:colOff>
      <xdr:row>23</xdr:row>
      <xdr:rowOff>143934</xdr:rowOff>
    </xdr:to>
    <xdr:pic>
      <xdr:nvPicPr>
        <xdr:cNvPr id="3" name="Picture 2" descr="FEM 10.2.09 Section 11.2.3 Column Deflection abstract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426" t="22958" b="11384"/>
        <a:stretch>
          <a:fillRect/>
        </a:stretch>
      </xdr:blipFill>
      <xdr:spPr>
        <a:xfrm>
          <a:off x="1" y="4679950"/>
          <a:ext cx="6057900" cy="4868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zoomScale="90" zoomScaleNormal="90" workbookViewId="0">
      <selection activeCell="A27" sqref="A27"/>
    </sheetView>
  </sheetViews>
  <sheetFormatPr defaultColWidth="9" defaultRowHeight="14"/>
  <cols>
    <col min="1" max="1" width="24.4140625" style="3" customWidth="1"/>
    <col min="2" max="2" width="11.08203125" style="1" customWidth="1"/>
    <col min="3" max="3" width="9.33203125" style="1" customWidth="1"/>
    <col min="4" max="4" width="11.08203125" style="1" customWidth="1"/>
    <col min="5" max="6" width="9.33203125" style="1" customWidth="1"/>
    <col min="7" max="7" width="9.33203125" style="2" customWidth="1"/>
    <col min="8" max="9" width="9.33203125" style="1" customWidth="1"/>
    <col min="10" max="10" width="9.5" style="1" customWidth="1"/>
    <col min="11" max="11" width="9" style="1"/>
    <col min="12" max="12" width="12.58203125" style="1" customWidth="1"/>
    <col min="13" max="13" width="14.6640625" style="1" customWidth="1"/>
    <col min="14" max="14" width="17.58203125" style="1" customWidth="1"/>
    <col min="15" max="20" width="7.5" style="1" customWidth="1"/>
    <col min="21" max="16384" width="9" style="1"/>
  </cols>
  <sheetData>
    <row r="1" spans="1:12" ht="20">
      <c r="A1" s="43" t="s">
        <v>76</v>
      </c>
      <c r="B1" s="43"/>
      <c r="C1" s="43"/>
      <c r="D1" s="43"/>
      <c r="E1" s="43"/>
      <c r="F1" s="2"/>
      <c r="G1" s="1" t="s">
        <v>49</v>
      </c>
    </row>
    <row r="2" spans="1:12">
      <c r="E2" s="42" t="s">
        <v>10</v>
      </c>
      <c r="F2" s="2"/>
      <c r="G2" s="15" t="s">
        <v>48</v>
      </c>
    </row>
    <row r="3" spans="1:12" ht="15">
      <c r="A3" s="3" t="s">
        <v>0</v>
      </c>
      <c r="B3"/>
      <c r="E3" s="42" t="s">
        <v>8</v>
      </c>
      <c r="F3" s="2"/>
      <c r="G3" s="1"/>
      <c r="I3" s="15" t="s">
        <v>23</v>
      </c>
      <c r="K3" s="49" t="s">
        <v>75</v>
      </c>
      <c r="L3" s="49"/>
    </row>
    <row r="4" spans="1:12">
      <c r="E4" s="42" t="s">
        <v>9</v>
      </c>
      <c r="F4" s="2"/>
      <c r="G4" s="1"/>
      <c r="H4" s="13" t="s">
        <v>28</v>
      </c>
      <c r="K4" s="49"/>
      <c r="L4" s="49"/>
    </row>
    <row r="5" spans="1:12">
      <c r="A5" s="3" t="s">
        <v>1</v>
      </c>
      <c r="F5" s="2"/>
      <c r="G5" s="15" t="s">
        <v>44</v>
      </c>
      <c r="J5" s="1" t="s">
        <v>22</v>
      </c>
      <c r="K5" s="49" t="s">
        <v>50</v>
      </c>
      <c r="L5" s="49"/>
    </row>
    <row r="6" spans="1:12">
      <c r="F6" s="4"/>
      <c r="G6" s="14"/>
      <c r="I6" s="1" t="s">
        <v>24</v>
      </c>
      <c r="K6" s="49"/>
      <c r="L6" s="49"/>
    </row>
    <row r="7" spans="1:12">
      <c r="A7" s="3" t="s">
        <v>2</v>
      </c>
      <c r="F7" s="4"/>
      <c r="G7" s="1"/>
      <c r="H7" s="13" t="s">
        <v>29</v>
      </c>
    </row>
    <row r="8" spans="1:12">
      <c r="F8" s="4"/>
      <c r="G8" s="13" t="s">
        <v>32</v>
      </c>
      <c r="J8" s="1" t="s">
        <v>21</v>
      </c>
    </row>
    <row r="9" spans="1:12" ht="16.5">
      <c r="A9" s="14" t="s">
        <v>3</v>
      </c>
      <c r="B9" s="1" t="s">
        <v>46</v>
      </c>
      <c r="F9" s="4"/>
      <c r="G9" s="14"/>
      <c r="I9" s="1" t="s">
        <v>25</v>
      </c>
    </row>
    <row r="10" spans="1:12" ht="16.5">
      <c r="A10" s="17" t="s">
        <v>53</v>
      </c>
      <c r="B10" s="1">
        <f>2.05*10^8</f>
        <v>204999999.99999997</v>
      </c>
      <c r="C10" s="1" t="s">
        <v>63</v>
      </c>
      <c r="F10" s="4"/>
      <c r="G10" s="1"/>
      <c r="H10" s="13" t="s">
        <v>30</v>
      </c>
    </row>
    <row r="11" spans="1:12" ht="15.5">
      <c r="A11" s="71" t="s">
        <v>55</v>
      </c>
      <c r="D11" s="37" t="s">
        <v>107</v>
      </c>
      <c r="F11" s="4"/>
      <c r="G11" s="13" t="s">
        <v>45</v>
      </c>
      <c r="J11" s="1" t="s">
        <v>20</v>
      </c>
    </row>
    <row r="12" spans="1:12" ht="16.5">
      <c r="A12" s="31" t="s">
        <v>108</v>
      </c>
      <c r="B12" s="30">
        <f>E12/100/100/100/100</f>
        <v>5.1790000000000004E-5</v>
      </c>
      <c r="C12" s="1" t="s">
        <v>62</v>
      </c>
      <c r="D12" s="70" t="str">
        <f>MoI!A16</f>
        <v>C350*90*4.0t</v>
      </c>
      <c r="E12" s="35">
        <f>MoI!B16</f>
        <v>5179</v>
      </c>
      <c r="F12" s="2"/>
      <c r="G12" s="1"/>
      <c r="I12" s="1" t="s">
        <v>26</v>
      </c>
    </row>
    <row r="13" spans="1:12" ht="15.5">
      <c r="A13" s="31" t="s">
        <v>109</v>
      </c>
      <c r="B13" s="33">
        <v>7.5</v>
      </c>
      <c r="C13" s="1" t="s">
        <v>4</v>
      </c>
      <c r="D13" s="36" t="s">
        <v>59</v>
      </c>
      <c r="F13" s="2"/>
      <c r="G13" s="1"/>
      <c r="H13" s="13" t="s">
        <v>27</v>
      </c>
    </row>
    <row r="14" spans="1:12" ht="15.5">
      <c r="A14" s="17" t="s">
        <v>52</v>
      </c>
      <c r="B14" s="33">
        <f>350/1000</f>
        <v>0.35</v>
      </c>
      <c r="C14" s="1" t="s">
        <v>4</v>
      </c>
      <c r="D14" s="36" t="s">
        <v>56</v>
      </c>
      <c r="F14" s="2"/>
      <c r="G14" s="14" t="s">
        <v>31</v>
      </c>
      <c r="J14" s="1" t="s">
        <v>19</v>
      </c>
    </row>
    <row r="15" spans="1:12" ht="15.5">
      <c r="A15" s="17" t="s">
        <v>51</v>
      </c>
      <c r="B15" s="33">
        <v>2.1</v>
      </c>
      <c r="C15" s="1" t="s">
        <v>4</v>
      </c>
      <c r="D15" s="36" t="s">
        <v>57</v>
      </c>
      <c r="F15" s="2"/>
      <c r="G15" s="1"/>
    </row>
    <row r="16" spans="1:12" ht="15.5">
      <c r="A16" s="14" t="s">
        <v>43</v>
      </c>
      <c r="B16" s="34">
        <v>720</v>
      </c>
      <c r="C16" s="1" t="s">
        <v>11</v>
      </c>
      <c r="D16" s="36" t="s">
        <v>58</v>
      </c>
      <c r="F16" s="2"/>
      <c r="G16" s="13"/>
    </row>
    <row r="17" spans="1:14">
      <c r="A17" s="14" t="s">
        <v>6</v>
      </c>
      <c r="B17" s="35">
        <v>5</v>
      </c>
      <c r="C17" s="1" t="s">
        <v>60</v>
      </c>
      <c r="D17" s="37" t="s">
        <v>61</v>
      </c>
      <c r="F17" s="13"/>
      <c r="G17" s="13"/>
      <c r="J17" s="1" t="s">
        <v>18</v>
      </c>
    </row>
    <row r="18" spans="1:14" ht="8" customHeight="1">
      <c r="A18" s="17"/>
      <c r="B18" s="17"/>
      <c r="D18" s="37"/>
      <c r="F18" s="16"/>
      <c r="G18" s="16"/>
    </row>
    <row r="19" spans="1:14" ht="18.5" customHeight="1">
      <c r="A19" s="1"/>
      <c r="B19" s="63" t="s">
        <v>104</v>
      </c>
      <c r="F19" s="13"/>
      <c r="G19" s="13"/>
    </row>
    <row r="20" spans="1:14">
      <c r="A20" s="5" t="s">
        <v>110</v>
      </c>
      <c r="B20" s="6">
        <v>1</v>
      </c>
      <c r="C20" s="6">
        <v>2</v>
      </c>
      <c r="D20" s="6">
        <v>3</v>
      </c>
      <c r="E20" s="6">
        <v>4</v>
      </c>
      <c r="F20" s="6">
        <v>5</v>
      </c>
      <c r="G20" s="6">
        <v>6</v>
      </c>
      <c r="H20" s="6">
        <v>7</v>
      </c>
      <c r="I20" s="6"/>
    </row>
    <row r="21" spans="1:14">
      <c r="A21" s="5" t="s">
        <v>67</v>
      </c>
      <c r="B21" s="7">
        <f>($B$13-$B$14)/($B$17+1)+$B$14</f>
        <v>1.5416666666666665</v>
      </c>
      <c r="C21" s="7">
        <f>IF($B$17&gt;=C20,($B21-$B$14)*C20+$B$14,0)</f>
        <v>2.7333333333333329</v>
      </c>
      <c r="D21" s="7">
        <f t="shared" ref="D21:H21" si="0">IF($B$17&gt;=D20,($B21-$B$14)*D20+$B$14,0)</f>
        <v>3.9249999999999994</v>
      </c>
      <c r="E21" s="7">
        <f t="shared" si="0"/>
        <v>5.1166666666666654</v>
      </c>
      <c r="F21" s="7">
        <f t="shared" si="0"/>
        <v>6.3083333333333318</v>
      </c>
      <c r="G21" s="7">
        <f t="shared" si="0"/>
        <v>0</v>
      </c>
      <c r="H21" s="7">
        <f t="shared" si="0"/>
        <v>0</v>
      </c>
      <c r="I21" s="29" t="b">
        <f>IF(C21=0,B21,IF(D21=0,C21,IF(E21=0,D21,IF(F21=0,E21,IF(G21=0,F21,IF(H21=0,G21,H21))))))+B21-B14=B13</f>
        <v>1</v>
      </c>
      <c r="J21" s="37" t="s">
        <v>99</v>
      </c>
    </row>
    <row r="22" spans="1:14">
      <c r="A22" s="5" t="s">
        <v>68</v>
      </c>
      <c r="B22" s="60">
        <f>IF($B$17=1,B21,IF($B$17=2,C21,IF($B$17=3,D21,IF($B$17=4,E21,IF($B$17=5,F21,IF($B$17=6,G21,H21))))))</f>
        <v>6.3083333333333318</v>
      </c>
      <c r="C22" s="61"/>
      <c r="D22" s="61"/>
      <c r="E22" s="61"/>
      <c r="F22" s="61"/>
      <c r="G22" s="61"/>
      <c r="H22" s="62"/>
      <c r="I22" s="8"/>
      <c r="J22" s="37" t="s">
        <v>106</v>
      </c>
    </row>
    <row r="23" spans="1:14">
      <c r="A23" s="5" t="s">
        <v>64</v>
      </c>
      <c r="B23" s="60">
        <f>$B$16*9.80665/1000</f>
        <v>7.0607879999999996</v>
      </c>
      <c r="C23" s="61"/>
      <c r="D23" s="61"/>
      <c r="E23" s="61"/>
      <c r="F23" s="61"/>
      <c r="G23" s="61"/>
      <c r="H23" s="62"/>
      <c r="I23" s="6"/>
      <c r="J23" s="1" t="s">
        <v>73</v>
      </c>
    </row>
    <row r="24" spans="1:14" ht="14.5" thickBot="1">
      <c r="A24" s="9" t="s">
        <v>54</v>
      </c>
      <c r="B24" s="60">
        <f>B$23/$B$15</f>
        <v>3.3622799999999997</v>
      </c>
      <c r="C24" s="61"/>
      <c r="D24" s="61"/>
      <c r="E24" s="61"/>
      <c r="F24" s="61"/>
      <c r="G24" s="61"/>
      <c r="H24" s="62"/>
      <c r="I24" s="6"/>
      <c r="J24" s="40" t="s">
        <v>70</v>
      </c>
      <c r="K24" s="47" t="s">
        <v>71</v>
      </c>
      <c r="L24" s="47"/>
    </row>
    <row r="25" spans="1:14">
      <c r="A25" s="5" t="s">
        <v>74</v>
      </c>
      <c r="B25" s="64">
        <f>(($B24*$B$15^2)/(4*$B$10*$B$12))*(B21-$B$14)*(2*$B22-B21-$B$14)</f>
        <v>4.4623619690271196E-3</v>
      </c>
      <c r="C25" s="64">
        <f>IF($B$17&gt;=C20,(($B24*$B$15^2)/(4*$B$10*$B$12))*(C21-$B$14)*(2*$B22-C21-$B$14),0)</f>
        <v>7.9330879449371026E-3</v>
      </c>
      <c r="D25" s="64">
        <f>IF($B$17&gt;=D20,(($B24*$B$15^2)/(4*$B$10*$B$12))*(D21-$B$14)*(2*$B22-D21-$B$14),0)</f>
        <v>1.0412177927729948E-2</v>
      </c>
      <c r="E25" s="64">
        <f>IF($B$17&gt;=E20,(($B24*$B$15^2)/(4*$B$10*$B$12))*(E21-$B$14)*(2*$B22-E21-$B$14),0)</f>
        <v>1.1899631917405654E-2</v>
      </c>
      <c r="F25" s="64">
        <f>IF($B$17&gt;=F20,(($B24*$B$15^2)/(4*$B$10*$B$12))*(F21-$B$14)*(2*$B22-F21-$B$14),0)</f>
        <v>1.2395449913964221E-2</v>
      </c>
      <c r="G25" s="64">
        <f>IF($B$17&gt;=G20,(($B24*$B$15^2)/(4*$B$10*$B$12))*(G21-$B$14)*(2*$B22-G21-$B$14),0)</f>
        <v>0</v>
      </c>
      <c r="H25" s="64">
        <f>IF($B$17&gt;=H20,(($B24*$B$15^2)/(4*$B$10*$B$12))*(H21-$B$14)*(2*$B22-H21-$B$14),0)</f>
        <v>0</v>
      </c>
      <c r="I25" s="32">
        <f>SUM(B25:H25)</f>
        <v>4.7102709673064042E-2</v>
      </c>
      <c r="J25" s="41" t="s">
        <v>69</v>
      </c>
      <c r="K25" s="47"/>
      <c r="L25" s="47"/>
      <c r="M25" s="39"/>
      <c r="N25" s="39"/>
    </row>
    <row r="26" spans="1:14" ht="21" customHeight="1">
      <c r="A26" s="69" t="s">
        <v>111</v>
      </c>
      <c r="B26" s="57">
        <f>$B$22/$I$25</f>
        <v>133.92718544472163</v>
      </c>
      <c r="C26" s="57"/>
      <c r="D26" s="65" t="s">
        <v>17</v>
      </c>
      <c r="E26" s="65"/>
      <c r="F26" s="65"/>
      <c r="G26" s="1"/>
    </row>
    <row r="27" spans="1:14" ht="19" customHeight="1">
      <c r="A27" s="1"/>
      <c r="B27" s="63" t="s">
        <v>103</v>
      </c>
      <c r="C27" s="59"/>
      <c r="D27" s="59"/>
      <c r="E27" s="59"/>
      <c r="F27" s="59"/>
      <c r="G27" s="1"/>
    </row>
    <row r="28" spans="1:14">
      <c r="A28" s="5" t="str">
        <f>A20</f>
        <v>Arm #</v>
      </c>
      <c r="B28" s="6">
        <v>1</v>
      </c>
      <c r="C28" s="6">
        <v>2</v>
      </c>
      <c r="D28" s="6">
        <v>3</v>
      </c>
      <c r="E28" s="6">
        <v>4</v>
      </c>
      <c r="F28" s="6">
        <v>5</v>
      </c>
      <c r="G28" s="6">
        <v>6</v>
      </c>
      <c r="H28" s="6">
        <v>7</v>
      </c>
      <c r="I28" s="6"/>
    </row>
    <row r="29" spans="1:14">
      <c r="A29" s="5" t="str">
        <f>A21</f>
        <v>Arm height (from flr) Hi m =</v>
      </c>
      <c r="B29" s="7">
        <f>($B$13-$B$14)/($B$17)+$B$14</f>
        <v>1.7800000000000002</v>
      </c>
      <c r="C29" s="7">
        <f>IF($B$17&gt;=C28,($B29-$B$14)*C28+$B$14,0)</f>
        <v>3.2100000000000004</v>
      </c>
      <c r="D29" s="7">
        <f t="shared" ref="D29:H29" si="1">IF($B$17&gt;=D28,($B29-$B$14)*D28+$B$14,0)</f>
        <v>4.6400000000000006</v>
      </c>
      <c r="E29" s="7">
        <f t="shared" si="1"/>
        <v>6.07</v>
      </c>
      <c r="F29" s="7">
        <f t="shared" si="1"/>
        <v>7.5</v>
      </c>
      <c r="G29" s="7">
        <f t="shared" si="1"/>
        <v>0</v>
      </c>
      <c r="H29" s="7">
        <f t="shared" si="1"/>
        <v>0</v>
      </c>
      <c r="I29" s="29" t="b">
        <f>IF(C21=0,B21,IF(D21=0,C21,IF(E21=0,D21,IF(F21=0,E21,IF(G21=0,F21,IF(H21=0,G21,H21))))))+B21-B14=B13</f>
        <v>1</v>
      </c>
      <c r="J29" s="37" t="s">
        <v>100</v>
      </c>
    </row>
    <row r="30" spans="1:14">
      <c r="A30" s="5" t="s">
        <v>101</v>
      </c>
      <c r="B30" s="60">
        <f>IF($B$17=1,B29,IF($B$17=2,C29,IF($B$17=3,D29,IF($B$17=4,E29,IF($B$17=5,F29,IF($B$17=6,G29,H29))))))</f>
        <v>7.5</v>
      </c>
      <c r="C30" s="61"/>
      <c r="D30" s="61"/>
      <c r="E30" s="61"/>
      <c r="F30" s="61"/>
      <c r="G30" s="61"/>
      <c r="H30" s="62"/>
      <c r="I30" s="8"/>
      <c r="J30" s="37" t="s">
        <v>105</v>
      </c>
    </row>
    <row r="31" spans="1:14" ht="14.5" thickBot="1">
      <c r="A31" s="5" t="str">
        <f>A25</f>
        <v>Deflection m =</v>
      </c>
      <c r="B31" s="64">
        <f>(($B$24*$B$15^2)/(4*$B$10*$B$12))*(B$29-$B$14)*(2*$B$30-B$29-$B$14)</f>
        <v>6.4258012353990554E-3</v>
      </c>
      <c r="C31" s="64">
        <f>IF($B$17&gt;=C$28, (($B$24*$B$15^2)/(4*$B$10*$B$12))*(C$29-$B$14)*(2*$B$30-C$29-$B$14), 0)</f>
        <v>1.1423646640709433E-2</v>
      </c>
      <c r="D31" s="64">
        <f>IF($B$17&gt;=D$28, (($B$24*$B$15^2)/(4*$B$10*$B$12))*(D$29-$B$14)*(2*$B$30-D$29-$B$14), 0)</f>
        <v>1.4993536215931131E-2</v>
      </c>
      <c r="E31" s="64">
        <f>IF($B$17&gt;=E$28, (($B$24*$B$15^2)/(4*$B$10*$B$12))*(E$29-$B$14)*(2*$B$30-E$29-$B$14), 0)</f>
        <v>1.7135469961064149E-2</v>
      </c>
      <c r="F31" s="64">
        <f>IF($B$17&gt;=F$28, (($B$24*$B$15^2)/(4*$B$10*$B$12))*(F$29-$B$14)*(2*$B$30-F$29-$B$14), 0)</f>
        <v>1.7849447876108489E-2</v>
      </c>
      <c r="G31" s="64">
        <f t="shared" ref="G31:H31" si="2">IF($B$17&gt;=G$28, (($B$24*$B$15^2)/(4*$B$10*$B$12))*(G$29-$B$14)*(2*$B$30-G$29-$B$14), 0)</f>
        <v>0</v>
      </c>
      <c r="H31" s="64">
        <f t="shared" si="2"/>
        <v>0</v>
      </c>
      <c r="I31" s="32">
        <f>SUM(B31:H31)</f>
        <v>6.7827901929212259E-2</v>
      </c>
      <c r="J31" s="40" t="s">
        <v>70</v>
      </c>
      <c r="K31" s="47" t="s">
        <v>102</v>
      </c>
      <c r="L31" s="47"/>
      <c r="M31" s="39"/>
      <c r="N31" s="39"/>
    </row>
    <row r="32" spans="1:14" ht="20.5" customHeight="1">
      <c r="A32" s="69" t="s">
        <v>112</v>
      </c>
      <c r="B32" s="58">
        <f>$B$13/$I$31</f>
        <v>110.57396420469088</v>
      </c>
      <c r="C32" s="58"/>
      <c r="D32" s="65" t="s">
        <v>17</v>
      </c>
      <c r="E32" s="65"/>
      <c r="F32" s="65"/>
      <c r="G32" s="1"/>
      <c r="J32" s="41" t="s">
        <v>69</v>
      </c>
      <c r="K32" s="47"/>
      <c r="L32" s="47"/>
    </row>
    <row r="34" spans="1:14">
      <c r="A34" s="12" t="s">
        <v>16</v>
      </c>
    </row>
    <row r="35" spans="1:14">
      <c r="A35" s="5" t="s">
        <v>7</v>
      </c>
      <c r="B35" s="6">
        <v>1</v>
      </c>
      <c r="C35" s="6">
        <v>2</v>
      </c>
      <c r="D35" s="6">
        <v>3</v>
      </c>
      <c r="E35" s="6">
        <v>4</v>
      </c>
      <c r="F35" s="6">
        <v>5</v>
      </c>
      <c r="G35" s="6">
        <v>6</v>
      </c>
      <c r="H35" s="6">
        <v>7</v>
      </c>
      <c r="I35" s="6" t="s">
        <v>5</v>
      </c>
    </row>
    <row r="36" spans="1:14">
      <c r="A36" s="5" t="s">
        <v>65</v>
      </c>
      <c r="B36" s="38">
        <f>(B21-$B$14)*(2*$B$22-B21-$B$14)</f>
        <v>12.780624999999995</v>
      </c>
      <c r="C36" s="38">
        <f>(C21-$B$14)*(2*$B$22-C21-$B$14)</f>
        <v>22.721111111111103</v>
      </c>
      <c r="D36" s="38">
        <f>(D21-$B$14)*(2*$B$22-D21-$B$14)</f>
        <v>29.821458333333322</v>
      </c>
      <c r="E36" s="38">
        <f>(E21-$B$14)*(2*$B$22-E21-$B$14)</f>
        <v>34.081666666666656</v>
      </c>
      <c r="F36" s="38">
        <f>(F21-$B$14)*(2*$B$22-F21-$B$14)</f>
        <v>35.5017361111111</v>
      </c>
      <c r="G36" s="38"/>
      <c r="H36" s="38"/>
      <c r="I36" s="6">
        <f>SUM(B36:H36)</f>
        <v>134.90659722222216</v>
      </c>
    </row>
    <row r="37" spans="1:14" ht="14.5" thickBot="1">
      <c r="A37" s="45" t="s">
        <v>14</v>
      </c>
      <c r="B37" s="11">
        <f>B17*B22*4*B10*B12*1000</f>
        <v>1339505191.6666663</v>
      </c>
      <c r="C37" s="48" t="s">
        <v>13</v>
      </c>
      <c r="D37" s="66">
        <f>B37/B38</f>
        <v>3600</v>
      </c>
      <c r="E37" s="68" t="s">
        <v>11</v>
      </c>
      <c r="F37" s="45" t="s">
        <v>12</v>
      </c>
      <c r="G37" s="46" t="s">
        <v>47</v>
      </c>
      <c r="H37" s="46"/>
      <c r="I37" s="46"/>
      <c r="J37" s="46"/>
      <c r="K37" s="46"/>
      <c r="L37" s="46"/>
    </row>
    <row r="38" spans="1:14">
      <c r="A38" s="45"/>
      <c r="B38" s="2">
        <f>9.80665*B26*B15*I36</f>
        <v>372084.77546296286</v>
      </c>
      <c r="C38" s="48"/>
      <c r="D38" s="66"/>
      <c r="E38" s="68"/>
      <c r="F38" s="45"/>
      <c r="G38" s="44" t="s">
        <v>72</v>
      </c>
      <c r="H38" s="44"/>
      <c r="I38" s="44"/>
      <c r="J38" s="44"/>
      <c r="K38" s="44"/>
      <c r="L38" s="44"/>
      <c r="M38" s="10"/>
      <c r="N38" s="10"/>
    </row>
    <row r="39" spans="1:14">
      <c r="A39" s="17" t="s">
        <v>15</v>
      </c>
      <c r="B39" s="18" t="s">
        <v>66</v>
      </c>
      <c r="D39" s="67">
        <f>D37/B17</f>
        <v>720</v>
      </c>
      <c r="E39" s="63" t="s">
        <v>11</v>
      </c>
      <c r="F39" s="14" t="s">
        <v>33</v>
      </c>
      <c r="G39" s="29" t="b">
        <f>B16=D39</f>
        <v>1</v>
      </c>
      <c r="H39" s="29" t="b">
        <f>D37=B16*B17</f>
        <v>1</v>
      </c>
      <c r="M39" s="10"/>
      <c r="N39" s="10"/>
    </row>
    <row r="40" spans="1:14">
      <c r="A40" s="1"/>
      <c r="G40" s="1"/>
      <c r="J40" s="10"/>
      <c r="K40" s="10"/>
      <c r="L40" s="10"/>
      <c r="M40" s="10"/>
      <c r="N40" s="10"/>
    </row>
    <row r="41" spans="1:14">
      <c r="H41" s="10"/>
      <c r="J41" s="10"/>
      <c r="K41" s="10"/>
      <c r="L41" s="10"/>
      <c r="M41" s="10"/>
      <c r="N41" s="10"/>
    </row>
    <row r="42" spans="1:14">
      <c r="J42" s="10"/>
      <c r="K42" s="10"/>
      <c r="L42" s="10"/>
      <c r="M42" s="10"/>
      <c r="N42" s="10"/>
    </row>
    <row r="43" spans="1:14">
      <c r="A43" s="1"/>
    </row>
  </sheetData>
  <mergeCells count="20">
    <mergeCell ref="D32:F32"/>
    <mergeCell ref="D26:F26"/>
    <mergeCell ref="B30:H30"/>
    <mergeCell ref="B24:H24"/>
    <mergeCell ref="K31:L32"/>
    <mergeCell ref="A1:E1"/>
    <mergeCell ref="G38:L38"/>
    <mergeCell ref="F37:F38"/>
    <mergeCell ref="G37:L37"/>
    <mergeCell ref="K24:L25"/>
    <mergeCell ref="A37:A38"/>
    <mergeCell ref="C37:C38"/>
    <mergeCell ref="D37:D38"/>
    <mergeCell ref="E37:E38"/>
    <mergeCell ref="K3:L4"/>
    <mergeCell ref="K5:L6"/>
    <mergeCell ref="B22:H22"/>
    <mergeCell ref="B23:H23"/>
    <mergeCell ref="B26:C26"/>
    <mergeCell ref="B32:C32"/>
  </mergeCells>
  <pageMargins left="0.25" right="0.1" top="0.16" bottom="0.12" header="0.08" footer="0.1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topLeftCell="A7" workbookViewId="0">
      <selection activeCell="C29" sqref="C29"/>
    </sheetView>
  </sheetViews>
  <sheetFormatPr defaultRowHeight="15"/>
  <cols>
    <col min="2" max="2" width="9.4140625" customWidth="1"/>
    <col min="6" max="6" width="3.9140625" customWidth="1"/>
    <col min="7" max="7" width="7" customWidth="1"/>
  </cols>
  <sheetData>
    <row r="1" spans="1:7" ht="23.5" customHeight="1">
      <c r="A1" s="28" t="s">
        <v>41</v>
      </c>
    </row>
    <row r="2" spans="1:7" ht="42">
      <c r="A2" s="19"/>
      <c r="B2" s="20" t="s">
        <v>35</v>
      </c>
      <c r="C2" s="21" t="s">
        <v>36</v>
      </c>
      <c r="D2" s="22" t="s">
        <v>37</v>
      </c>
      <c r="E2" s="21" t="s">
        <v>38</v>
      </c>
      <c r="F2" s="50" t="s">
        <v>39</v>
      </c>
      <c r="G2" s="51"/>
    </row>
    <row r="3" spans="1:7">
      <c r="A3" s="23">
        <f>C3</f>
        <v>19.607843137254903</v>
      </c>
      <c r="B3" s="21">
        <v>2000</v>
      </c>
      <c r="C3" s="24">
        <f>B3/(100+B3*B3/2000000)</f>
        <v>19.607843137254903</v>
      </c>
      <c r="D3" s="24"/>
      <c r="E3" s="24"/>
      <c r="F3" s="25" t="s">
        <v>40</v>
      </c>
      <c r="G3" s="26">
        <f>B3/C3</f>
        <v>101.99999999999999</v>
      </c>
    </row>
    <row r="4" spans="1:7">
      <c r="A4" s="23">
        <f>C4</f>
        <v>28.708133971291865</v>
      </c>
      <c r="B4" s="21">
        <v>3000</v>
      </c>
      <c r="C4" s="24">
        <f>B4/(100+B4*B4/2000000)</f>
        <v>28.708133971291865</v>
      </c>
      <c r="D4" s="24"/>
      <c r="E4" s="24"/>
      <c r="F4" s="25" t="s">
        <v>40</v>
      </c>
      <c r="G4" s="26">
        <f>B4/C4</f>
        <v>104.5</v>
      </c>
    </row>
    <row r="5" spans="1:7">
      <c r="A5" s="23">
        <f>C5</f>
        <v>37.037037037037038</v>
      </c>
      <c r="B5" s="21">
        <v>4000</v>
      </c>
      <c r="C5" s="24">
        <f>B5/(100+B5*B5/2000000)</f>
        <v>37.037037037037038</v>
      </c>
      <c r="D5" s="24"/>
      <c r="E5" s="24"/>
      <c r="F5" s="25" t="s">
        <v>40</v>
      </c>
      <c r="G5" s="26">
        <f>B5/C5</f>
        <v>108</v>
      </c>
    </row>
    <row r="6" spans="1:7">
      <c r="A6" s="23">
        <f>C6</f>
        <v>44.444444444444443</v>
      </c>
      <c r="B6" s="21">
        <v>5000</v>
      </c>
      <c r="C6" s="24">
        <f>B6/(100+B6*B6/2000000)</f>
        <v>44.444444444444443</v>
      </c>
      <c r="D6" s="24"/>
      <c r="E6" s="24"/>
      <c r="F6" s="25" t="s">
        <v>40</v>
      </c>
      <c r="G6" s="26">
        <f>B6/C6</f>
        <v>112.5</v>
      </c>
    </row>
    <row r="7" spans="1:7">
      <c r="A7" s="23">
        <f>C7</f>
        <v>50.847457627118644</v>
      </c>
      <c r="B7" s="21">
        <v>6000</v>
      </c>
      <c r="C7" s="24">
        <f>B7/(100+B7*B7/2000000)</f>
        <v>50.847457627118644</v>
      </c>
      <c r="D7" s="24">
        <f>41.6+9.2*B7/6000</f>
        <v>50.8</v>
      </c>
      <c r="E7" s="24"/>
      <c r="F7" s="25" t="s">
        <v>40</v>
      </c>
      <c r="G7" s="26">
        <f>B7/C7</f>
        <v>118</v>
      </c>
    </row>
    <row r="8" spans="1:7">
      <c r="A8" s="23">
        <f t="shared" ref="A8:A13" si="0">D8</f>
        <v>52.333333333333336</v>
      </c>
      <c r="B8" s="21">
        <v>7000</v>
      </c>
      <c r="C8" s="24"/>
      <c r="D8" s="24">
        <f t="shared" ref="D8:D13" si="1">41.6+9.2*B8/6000</f>
        <v>52.333333333333336</v>
      </c>
      <c r="E8" s="24"/>
      <c r="F8" s="25" t="s">
        <v>40</v>
      </c>
      <c r="G8" s="27">
        <f t="shared" ref="G8:G13" si="2">B8/D8</f>
        <v>133.7579617834395</v>
      </c>
    </row>
    <row r="9" spans="1:7">
      <c r="A9" s="23">
        <f t="shared" si="0"/>
        <v>53.866666666666667</v>
      </c>
      <c r="B9" s="21">
        <v>8000</v>
      </c>
      <c r="C9" s="24"/>
      <c r="D9" s="24">
        <f t="shared" si="1"/>
        <v>53.866666666666667</v>
      </c>
      <c r="E9" s="24"/>
      <c r="F9" s="25" t="s">
        <v>40</v>
      </c>
      <c r="G9" s="27">
        <f t="shared" si="2"/>
        <v>148.51485148514851</v>
      </c>
    </row>
    <row r="10" spans="1:7">
      <c r="A10" s="23">
        <f t="shared" si="0"/>
        <v>55.400000000000006</v>
      </c>
      <c r="B10" s="21">
        <v>9000</v>
      </c>
      <c r="C10" s="24"/>
      <c r="D10" s="24">
        <f t="shared" si="1"/>
        <v>55.400000000000006</v>
      </c>
      <c r="E10" s="24"/>
      <c r="F10" s="25" t="s">
        <v>40</v>
      </c>
      <c r="G10" s="27">
        <f t="shared" si="2"/>
        <v>162.45487364620936</v>
      </c>
    </row>
    <row r="11" spans="1:7">
      <c r="A11" s="23">
        <f t="shared" si="0"/>
        <v>56.933333333333337</v>
      </c>
      <c r="B11" s="21">
        <v>10000</v>
      </c>
      <c r="C11" s="24"/>
      <c r="D11" s="24">
        <f t="shared" si="1"/>
        <v>56.933333333333337</v>
      </c>
      <c r="E11" s="24"/>
      <c r="F11" s="25" t="s">
        <v>40</v>
      </c>
      <c r="G11" s="27">
        <f t="shared" si="2"/>
        <v>175.64402810304449</v>
      </c>
    </row>
    <row r="12" spans="1:7">
      <c r="A12" s="23">
        <f t="shared" si="0"/>
        <v>58.466666666666669</v>
      </c>
      <c r="B12" s="21">
        <v>11000</v>
      </c>
      <c r="C12" s="24"/>
      <c r="D12" s="24">
        <f t="shared" si="1"/>
        <v>58.466666666666669</v>
      </c>
      <c r="E12" s="24"/>
      <c r="F12" s="25" t="s">
        <v>40</v>
      </c>
      <c r="G12" s="27">
        <f t="shared" si="2"/>
        <v>188.14139110604333</v>
      </c>
    </row>
    <row r="13" spans="1:7">
      <c r="A13" s="23">
        <f t="shared" si="0"/>
        <v>60</v>
      </c>
      <c r="B13" s="21">
        <v>12000</v>
      </c>
      <c r="C13" s="24"/>
      <c r="D13" s="24">
        <f t="shared" si="1"/>
        <v>60</v>
      </c>
      <c r="E13" s="24">
        <f>B13/200</f>
        <v>60</v>
      </c>
      <c r="F13" s="25" t="s">
        <v>40</v>
      </c>
      <c r="G13" s="27">
        <f t="shared" si="2"/>
        <v>200</v>
      </c>
    </row>
    <row r="14" spans="1:7">
      <c r="A14" s="23">
        <f>E14</f>
        <v>65</v>
      </c>
      <c r="B14" s="21">
        <v>13000</v>
      </c>
      <c r="C14" s="24"/>
      <c r="D14" s="24"/>
      <c r="E14" s="24">
        <f>B14/200</f>
        <v>65</v>
      </c>
      <c r="F14" s="25" t="s">
        <v>40</v>
      </c>
      <c r="G14" s="26">
        <f>B14/E14</f>
        <v>200</v>
      </c>
    </row>
    <row r="15" spans="1:7">
      <c r="A15" s="23">
        <f>E15</f>
        <v>70</v>
      </c>
      <c r="B15" s="21">
        <v>14000</v>
      </c>
      <c r="C15" s="24"/>
      <c r="D15" s="24"/>
      <c r="E15" s="24">
        <f>B15/200</f>
        <v>70</v>
      </c>
      <c r="F15" s="25" t="s">
        <v>40</v>
      </c>
      <c r="G15" s="26">
        <f>B15/E15</f>
        <v>200</v>
      </c>
    </row>
    <row r="16" spans="1:7">
      <c r="A16" s="23">
        <f>E16</f>
        <v>75</v>
      </c>
      <c r="B16" s="21">
        <v>15000</v>
      </c>
      <c r="C16" s="24"/>
      <c r="D16" s="24"/>
      <c r="E16" s="24">
        <f>B16/200</f>
        <v>75</v>
      </c>
      <c r="F16" s="25" t="s">
        <v>40</v>
      </c>
      <c r="G16" s="26">
        <f>B16/E16</f>
        <v>200</v>
      </c>
    </row>
    <row r="18" spans="1:1">
      <c r="A18" s="12" t="s">
        <v>34</v>
      </c>
    </row>
    <row r="21" spans="1:1">
      <c r="A21" s="12" t="s">
        <v>42</v>
      </c>
    </row>
  </sheetData>
  <mergeCells count="1">
    <mergeCell ref="F2:G2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topLeftCell="A7" workbookViewId="0">
      <selection activeCell="B16" sqref="B16"/>
    </sheetView>
  </sheetViews>
  <sheetFormatPr defaultRowHeight="15.5"/>
  <cols>
    <col min="1" max="2" width="13.83203125" style="28" customWidth="1"/>
    <col min="3" max="16384" width="8.6640625" style="28"/>
  </cols>
  <sheetData>
    <row r="1" spans="1:2">
      <c r="A1" s="52" t="s">
        <v>77</v>
      </c>
      <c r="B1" s="52" t="s">
        <v>78</v>
      </c>
    </row>
    <row r="2" spans="1:2">
      <c r="A2" s="52"/>
      <c r="B2" s="52" t="s">
        <v>79</v>
      </c>
    </row>
    <row r="3" spans="1:2">
      <c r="A3" s="53" t="s">
        <v>80</v>
      </c>
      <c r="B3" s="54">
        <v>560</v>
      </c>
    </row>
    <row r="4" spans="1:2">
      <c r="A4" s="53" t="s">
        <v>81</v>
      </c>
      <c r="B4" s="54">
        <v>691</v>
      </c>
    </row>
    <row r="5" spans="1:2">
      <c r="A5" s="53" t="s">
        <v>82</v>
      </c>
      <c r="B5" s="54">
        <v>798</v>
      </c>
    </row>
    <row r="6" spans="1:2">
      <c r="A6" s="53"/>
      <c r="B6" s="54"/>
    </row>
    <row r="7" spans="1:2">
      <c r="A7" s="53" t="s">
        <v>83</v>
      </c>
      <c r="B7" s="54">
        <v>979</v>
      </c>
    </row>
    <row r="8" spans="1:2">
      <c r="A8" s="53" t="s">
        <v>84</v>
      </c>
      <c r="B8" s="54">
        <v>1162</v>
      </c>
    </row>
    <row r="9" spans="1:2">
      <c r="A9" s="53"/>
      <c r="B9" s="54"/>
    </row>
    <row r="10" spans="1:2">
      <c r="A10" s="53" t="s">
        <v>85</v>
      </c>
      <c r="B10" s="55">
        <v>2713</v>
      </c>
    </row>
    <row r="11" spans="1:2">
      <c r="A11" s="53" t="s">
        <v>86</v>
      </c>
      <c r="B11" s="54">
        <v>3084</v>
      </c>
    </row>
    <row r="12" spans="1:2">
      <c r="A12" s="53" t="s">
        <v>87</v>
      </c>
      <c r="B12" s="54">
        <v>3588</v>
      </c>
    </row>
    <row r="13" spans="1:2">
      <c r="A13" s="53"/>
      <c r="B13" s="54"/>
    </row>
    <row r="14" spans="1:2">
      <c r="A14" s="53" t="s">
        <v>88</v>
      </c>
      <c r="B14" s="54">
        <v>3948</v>
      </c>
    </row>
    <row r="15" spans="1:2">
      <c r="A15" s="53" t="s">
        <v>89</v>
      </c>
      <c r="B15" s="54">
        <v>4569</v>
      </c>
    </row>
    <row r="16" spans="1:2">
      <c r="A16" s="53" t="s">
        <v>90</v>
      </c>
      <c r="B16" s="54">
        <v>5179</v>
      </c>
    </row>
    <row r="17" spans="1:2">
      <c r="A17" s="53"/>
      <c r="B17" s="54"/>
    </row>
    <row r="18" spans="1:2">
      <c r="A18" s="56" t="s">
        <v>91</v>
      </c>
      <c r="B18" s="52">
        <v>1610</v>
      </c>
    </row>
    <row r="19" spans="1:2">
      <c r="A19" s="56" t="s">
        <v>92</v>
      </c>
      <c r="B19" s="52">
        <v>1880</v>
      </c>
    </row>
    <row r="20" spans="1:2">
      <c r="A20" s="56" t="s">
        <v>93</v>
      </c>
      <c r="B20" s="52">
        <v>3560</v>
      </c>
    </row>
    <row r="21" spans="1:2">
      <c r="A21" s="56" t="s">
        <v>94</v>
      </c>
      <c r="B21" s="52">
        <v>4080</v>
      </c>
    </row>
    <row r="22" spans="1:2">
      <c r="A22" s="56" t="s">
        <v>95</v>
      </c>
      <c r="B22" s="52">
        <v>6460</v>
      </c>
    </row>
    <row r="23" spans="1:2">
      <c r="A23" s="56" t="s">
        <v>96</v>
      </c>
      <c r="B23" s="52">
        <v>7350</v>
      </c>
    </row>
    <row r="24" spans="1:2">
      <c r="A24" s="56" t="s">
        <v>97</v>
      </c>
      <c r="B24" s="52">
        <v>11200</v>
      </c>
    </row>
    <row r="25" spans="1:2">
      <c r="A25" s="56" t="s">
        <v>98</v>
      </c>
      <c r="B25" s="52">
        <v>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Deflection formula</vt:lpstr>
      <vt:lpstr>FEM column deflection rate</vt:lpstr>
      <vt:lpstr>MoI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Francis Seow</cp:lastModifiedBy>
  <cp:lastPrinted>2018-11-22T12:08:26Z</cp:lastPrinted>
  <dcterms:created xsi:type="dcterms:W3CDTF">2013-04-04T12:29:30Z</dcterms:created>
  <dcterms:modified xsi:type="dcterms:W3CDTF">2018-11-28T09:50:34Z</dcterms:modified>
</cp:coreProperties>
</file>